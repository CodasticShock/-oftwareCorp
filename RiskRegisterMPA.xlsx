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odeezy/Downloads/"/>
    </mc:Choice>
  </mc:AlternateContent>
  <xr:revisionPtr revIDLastSave="0" documentId="13_ncr:1_{A0980BCA-6E54-AA45-9513-F4C31F710854}" xr6:coauthVersionLast="47" xr6:coauthVersionMax="47" xr10:uidLastSave="{00000000-0000-0000-0000-000000000000}"/>
  <bookViews>
    <workbookView xWindow="4340" yWindow="500" windowWidth="24460" windowHeight="16400" activeTab="1" xr2:uid="{00000000-000D-0000-FFFF-FFFF00000000}"/>
  </bookViews>
  <sheets>
    <sheet name="Instructions" sheetId="1" r:id="rId1"/>
    <sheet name="Risk Register" sheetId="2" r:id="rId2"/>
    <sheet name="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2" l="1"/>
  <c r="J23" i="2"/>
  <c r="J24" i="2"/>
  <c r="J3" i="2"/>
  <c r="J4" i="2"/>
  <c r="J5" i="2"/>
  <c r="J9" i="2"/>
  <c r="J10" i="2"/>
  <c r="J11" i="2"/>
  <c r="J12" i="2"/>
  <c r="J15" i="2"/>
  <c r="J16" i="2"/>
  <c r="J17" i="2"/>
  <c r="J18" i="2"/>
  <c r="J21" i="2"/>
  <c r="J2" i="2"/>
  <c r="B2" i="3"/>
  <c r="B3" i="3" l="1"/>
</calcChain>
</file>

<file path=xl/sharedStrings.xml><?xml version="1.0" encoding="utf-8"?>
<sst xmlns="http://schemas.openxmlformats.org/spreadsheetml/2006/main" count="98" uniqueCount="85">
  <si>
    <t>Instructions</t>
  </si>
  <si>
    <t>Welcome to the GRC Tracker Pro - Risk Register Template.</t>
  </si>
  <si>
    <t>Follow these steps to use this template:</t>
  </si>
  <si>
    <t>1. Go to the 'Risk Register' tab.</t>
  </si>
  <si>
    <t>2. Add each risk with its description, likelihood, impact, and assigned owner.</t>
  </si>
  <si>
    <t>3. The 'Risk Score' will automatically calculate (Likelihood x Impact).</t>
  </si>
  <si>
    <t>4. Update the Risk Status regularly to monitor progress.</t>
  </si>
  <si>
    <t>5. View the Dashboard for a summary of total risks and risk score averages.</t>
  </si>
  <si>
    <t>Risk ID</t>
  </si>
  <si>
    <t>Risk Name</t>
  </si>
  <si>
    <t>Risk Description</t>
  </si>
  <si>
    <t>Likelihood (1-5)</t>
  </si>
  <si>
    <t>Impact (1-5)</t>
  </si>
  <si>
    <t>Risk Score (Auto)</t>
  </si>
  <si>
    <t>Risk Owner</t>
  </si>
  <si>
    <t>Mitigation Plan</t>
  </si>
  <si>
    <t>Risk Status</t>
  </si>
  <si>
    <t>Metric</t>
  </si>
  <si>
    <t>Value</t>
  </si>
  <si>
    <t>Total Risks</t>
  </si>
  <si>
    <t>Average Risk Score</t>
  </si>
  <si>
    <t xml:space="preserve">Technical </t>
  </si>
  <si>
    <t xml:space="preserve">Techncal </t>
  </si>
  <si>
    <t xml:space="preserve">Schedule </t>
  </si>
  <si>
    <t xml:space="preserve">Financial </t>
  </si>
  <si>
    <t>People</t>
  </si>
  <si>
    <t>Location inaccuracy</t>
  </si>
  <si>
    <t>Payment failure</t>
  </si>
  <si>
    <t xml:space="preserve">Excess Server Count </t>
  </si>
  <si>
    <t>App and server crash</t>
  </si>
  <si>
    <t>Availability not updated</t>
  </si>
  <si>
    <t>Parking lot data outdated</t>
  </si>
  <si>
    <t>Beta Testing time</t>
  </si>
  <si>
    <t>Debugging may push development back</t>
  </si>
  <si>
    <t>App store publishing</t>
  </si>
  <si>
    <t>App needs more time to be published</t>
  </si>
  <si>
    <t>Beta testing delayed due to app development team being pushed back</t>
  </si>
  <si>
    <t xml:space="preserve">Beta-test Delay </t>
  </si>
  <si>
    <t>Project Management changes</t>
  </si>
  <si>
    <t>non functional and functional reqwuirements cahnge during cycle</t>
  </si>
  <si>
    <t>HighDevelopment costs</t>
  </si>
  <si>
    <t>Costs go beyond budget</t>
  </si>
  <si>
    <t>3rd party integration costs</t>
  </si>
  <si>
    <t>Payment fees for third party are higher than expected (ex: payment integration/location services)</t>
  </si>
  <si>
    <t>Cloud costs</t>
  </si>
  <si>
    <t>User count rises and costs for cloud storage increases</t>
  </si>
  <si>
    <t xml:space="preserve">Lack of funds </t>
  </si>
  <si>
    <t xml:space="preserve">Can reduce and delay timeline of project </t>
  </si>
  <si>
    <t>Lot-Developer comunication issue</t>
  </si>
  <si>
    <t xml:space="preserve">Misunderstanding regarding lot information </t>
  </si>
  <si>
    <t>Teams feeling too much work at once</t>
  </si>
  <si>
    <t>Project teams get overwhlemed during periods</t>
  </si>
  <si>
    <t>Miscommunication from management to team</t>
  </si>
  <si>
    <t>Expectations and constraints not properly understood and communicated on blue card</t>
  </si>
  <si>
    <t>Users struggling to understand features</t>
  </si>
  <si>
    <t>Use reliable company and create contigency plan</t>
  </si>
  <si>
    <t>Test Load testing with performance during beta tests</t>
  </si>
  <si>
    <t>Implement automated refresh database system that stays up to date</t>
  </si>
  <si>
    <t>Monitor tasks completion weekly</t>
  </si>
  <si>
    <t>Early submissions and constantly add changes</t>
  </si>
  <si>
    <t>Remain on schedule and adjust tasks amongst teams</t>
  </si>
  <si>
    <t>Track spending, and have money reserved</t>
  </si>
  <si>
    <t xml:space="preserve">Research and look at usage spending </t>
  </si>
  <si>
    <t>Optimize cloud and and related resource</t>
  </si>
  <si>
    <t xml:space="preserve">Detailed budget planning. </t>
  </si>
  <si>
    <t>Have meetings and document requirements</t>
  </si>
  <si>
    <t>Monitor and redistribute tasks if needed</t>
  </si>
  <si>
    <t>Manager meetings weekly as well as team meetings to follow up. Also an established blue card for everyone to see</t>
  </si>
  <si>
    <t xml:space="preserve">Offer support services, videos, and integrated manuals to minimize confusion </t>
  </si>
  <si>
    <t>Technical Superviser</t>
  </si>
  <si>
    <t>Backend Development team</t>
  </si>
  <si>
    <t>Implement a quick and effective change-process and confirm with stakeholders</t>
  </si>
  <si>
    <t>Project manager</t>
  </si>
  <si>
    <t xml:space="preserve">Test team </t>
  </si>
  <si>
    <t>App Release Manager</t>
  </si>
  <si>
    <t>Technical lead</t>
  </si>
  <si>
    <t xml:space="preserve">Project Manager </t>
  </si>
  <si>
    <t>Financial Manager</t>
  </si>
  <si>
    <t>Technical Supervisor</t>
  </si>
  <si>
    <t>Sponsors/Stakeholder</t>
  </si>
  <si>
    <t>Owner</t>
  </si>
  <si>
    <t>Project Manager</t>
  </si>
  <si>
    <t xml:space="preserve">Management </t>
  </si>
  <si>
    <t>UI/Support team</t>
  </si>
  <si>
    <t>Test Location services across globe and different types of 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</si>
</sst>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rgb="FF92D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4"/>
  <sheetViews>
    <sheetView tabSelected="1" workbookViewId="0">
      <selection activeCell="H30" sqref="H30"/>
    </sheetView>
  </sheetViews>
  <sheetFormatPr baseColWidth="10" defaultColWidth="8.83203125" defaultRowHeight="15" x14ac:dyDescent="0.2"/>
  <sheetData>
    <row r="1" spans="1:16" x14ac:dyDescent="0.2">
      <c r="A1" s="1" t="s">
        <v>8</v>
      </c>
      <c r="B1" s="1" t="s">
        <v>9</v>
      </c>
      <c r="D1" s="1" t="s">
        <v>10</v>
      </c>
      <c r="F1" s="1" t="s">
        <v>11</v>
      </c>
      <c r="H1" s="1" t="s">
        <v>12</v>
      </c>
      <c r="J1" s="1" t="s">
        <v>13</v>
      </c>
      <c r="L1" s="1" t="s">
        <v>14</v>
      </c>
      <c r="N1" s="1" t="s">
        <v>15</v>
      </c>
      <c r="P1" s="1" t="s">
        <v>16</v>
      </c>
    </row>
    <row r="2" spans="1:16" x14ac:dyDescent="0.2">
      <c r="A2" s="2" t="s">
        <v>21</v>
      </c>
      <c r="B2" t="s">
        <v>26</v>
      </c>
      <c r="F2">
        <v>3</v>
      </c>
      <c r="H2">
        <v>4</v>
      </c>
      <c r="J2" s="6">
        <f>F2*H2</f>
        <v>12</v>
      </c>
      <c r="L2" t="s">
        <v>69</v>
      </c>
      <c r="N2" t="s">
        <v>84</v>
      </c>
    </row>
    <row r="3" spans="1:16" x14ac:dyDescent="0.2">
      <c r="A3" s="2" t="s">
        <v>22</v>
      </c>
      <c r="B3" t="s">
        <v>27</v>
      </c>
      <c r="F3">
        <v>3</v>
      </c>
      <c r="H3">
        <v>5</v>
      </c>
      <c r="J3" s="6">
        <f t="shared" ref="J3:J24" si="0">F3*H3</f>
        <v>15</v>
      </c>
      <c r="L3" t="s">
        <v>70</v>
      </c>
      <c r="N3" t="s">
        <v>55</v>
      </c>
    </row>
    <row r="4" spans="1:16" x14ac:dyDescent="0.2">
      <c r="A4" s="2" t="s">
        <v>22</v>
      </c>
      <c r="B4" t="s">
        <v>28</v>
      </c>
      <c r="D4" t="s">
        <v>29</v>
      </c>
      <c r="F4">
        <v>2</v>
      </c>
      <c r="H4">
        <v>5</v>
      </c>
      <c r="J4" s="6">
        <f t="shared" si="0"/>
        <v>10</v>
      </c>
      <c r="L4" t="s">
        <v>78</v>
      </c>
      <c r="N4" t="s">
        <v>56</v>
      </c>
    </row>
    <row r="5" spans="1:16" x14ac:dyDescent="0.2">
      <c r="A5" s="2" t="s">
        <v>22</v>
      </c>
      <c r="B5" t="s">
        <v>30</v>
      </c>
      <c r="D5" t="s">
        <v>31</v>
      </c>
      <c r="F5">
        <v>2</v>
      </c>
      <c r="H5">
        <v>4</v>
      </c>
      <c r="J5" s="7">
        <f t="shared" si="0"/>
        <v>8</v>
      </c>
      <c r="L5" t="s">
        <v>70</v>
      </c>
      <c r="N5" t="s">
        <v>57</v>
      </c>
    </row>
    <row r="9" spans="1:16" x14ac:dyDescent="0.2">
      <c r="A9" s="3" t="s">
        <v>23</v>
      </c>
      <c r="B9" t="s">
        <v>32</v>
      </c>
      <c r="C9" t="s">
        <v>33</v>
      </c>
      <c r="F9">
        <v>3</v>
      </c>
      <c r="H9">
        <v>3</v>
      </c>
      <c r="J9" s="7">
        <f t="shared" si="0"/>
        <v>9</v>
      </c>
      <c r="L9" t="s">
        <v>73</v>
      </c>
      <c r="N9" t="s">
        <v>58</v>
      </c>
    </row>
    <row r="10" spans="1:16" x14ac:dyDescent="0.2">
      <c r="A10" s="3" t="s">
        <v>23</v>
      </c>
      <c r="B10" t="s">
        <v>34</v>
      </c>
      <c r="D10" t="s">
        <v>35</v>
      </c>
      <c r="F10">
        <v>3</v>
      </c>
      <c r="H10">
        <v>2</v>
      </c>
      <c r="J10" s="7">
        <f t="shared" si="0"/>
        <v>6</v>
      </c>
      <c r="L10" t="s">
        <v>74</v>
      </c>
      <c r="N10" t="s">
        <v>59</v>
      </c>
    </row>
    <row r="11" spans="1:16" x14ac:dyDescent="0.2">
      <c r="A11" s="3" t="s">
        <v>23</v>
      </c>
      <c r="B11" t="s">
        <v>37</v>
      </c>
      <c r="D11" t="s">
        <v>36</v>
      </c>
      <c r="F11">
        <v>4</v>
      </c>
      <c r="H11">
        <v>2</v>
      </c>
      <c r="J11" s="7">
        <f t="shared" si="0"/>
        <v>8</v>
      </c>
      <c r="L11" t="s">
        <v>75</v>
      </c>
      <c r="N11" t="s">
        <v>60</v>
      </c>
    </row>
    <row r="12" spans="1:16" x14ac:dyDescent="0.2">
      <c r="A12" s="3" t="s">
        <v>23</v>
      </c>
      <c r="B12" t="s">
        <v>38</v>
      </c>
      <c r="D12" t="s">
        <v>39</v>
      </c>
      <c r="F12">
        <v>3</v>
      </c>
      <c r="H12">
        <v>4</v>
      </c>
      <c r="J12" s="6">
        <f t="shared" si="0"/>
        <v>12</v>
      </c>
      <c r="L12" t="s">
        <v>72</v>
      </c>
      <c r="N12" t="s">
        <v>71</v>
      </c>
    </row>
    <row r="15" spans="1:16" x14ac:dyDescent="0.2">
      <c r="A15" s="4" t="s">
        <v>24</v>
      </c>
      <c r="B15" t="s">
        <v>40</v>
      </c>
      <c r="D15" t="s">
        <v>41</v>
      </c>
      <c r="F15">
        <v>3</v>
      </c>
      <c r="H15">
        <v>5</v>
      </c>
      <c r="J15" s="6">
        <f t="shared" si="0"/>
        <v>15</v>
      </c>
      <c r="L15" t="s">
        <v>76</v>
      </c>
      <c r="N15" t="s">
        <v>61</v>
      </c>
    </row>
    <row r="16" spans="1:16" x14ac:dyDescent="0.2">
      <c r="A16" s="4" t="s">
        <v>24</v>
      </c>
      <c r="B16" t="s">
        <v>42</v>
      </c>
      <c r="D16" t="s">
        <v>43</v>
      </c>
      <c r="F16">
        <v>3</v>
      </c>
      <c r="H16">
        <v>3</v>
      </c>
      <c r="J16" s="7">
        <f t="shared" si="0"/>
        <v>9</v>
      </c>
      <c r="L16" t="s">
        <v>77</v>
      </c>
      <c r="N16" t="s">
        <v>62</v>
      </c>
    </row>
    <row r="17" spans="1:14" x14ac:dyDescent="0.2">
      <c r="A17" s="4" t="s">
        <v>24</v>
      </c>
      <c r="B17" t="s">
        <v>44</v>
      </c>
      <c r="D17" t="s">
        <v>45</v>
      </c>
      <c r="F17">
        <v>2</v>
      </c>
      <c r="H17">
        <v>2</v>
      </c>
      <c r="J17" s="8">
        <f t="shared" si="0"/>
        <v>4</v>
      </c>
      <c r="L17" t="s">
        <v>78</v>
      </c>
      <c r="N17" t="s">
        <v>63</v>
      </c>
    </row>
    <row r="18" spans="1:14" x14ac:dyDescent="0.2">
      <c r="A18" s="4" t="s">
        <v>24</v>
      </c>
      <c r="B18" t="s">
        <v>46</v>
      </c>
      <c r="D18" t="s">
        <v>47</v>
      </c>
      <c r="F18">
        <v>2</v>
      </c>
      <c r="H18">
        <v>5</v>
      </c>
      <c r="J18" s="6">
        <f t="shared" si="0"/>
        <v>10</v>
      </c>
      <c r="L18" t="s">
        <v>79</v>
      </c>
      <c r="N18" t="s">
        <v>64</v>
      </c>
    </row>
    <row r="21" spans="1:14" x14ac:dyDescent="0.2">
      <c r="A21" s="5" t="s">
        <v>25</v>
      </c>
      <c r="B21" t="s">
        <v>48</v>
      </c>
      <c r="D21" t="s">
        <v>49</v>
      </c>
      <c r="F21">
        <v>2</v>
      </c>
      <c r="H21">
        <v>4</v>
      </c>
      <c r="J21" s="7">
        <f t="shared" si="0"/>
        <v>8</v>
      </c>
      <c r="L21" t="s">
        <v>80</v>
      </c>
      <c r="N21" t="s">
        <v>65</v>
      </c>
    </row>
    <row r="22" spans="1:14" x14ac:dyDescent="0.2">
      <c r="A22" s="5" t="s">
        <v>25</v>
      </c>
      <c r="B22" t="s">
        <v>50</v>
      </c>
      <c r="D22" t="s">
        <v>51</v>
      </c>
      <c r="F22">
        <v>3</v>
      </c>
      <c r="H22">
        <v>3</v>
      </c>
      <c r="J22" s="7">
        <f>F22*H22</f>
        <v>9</v>
      </c>
      <c r="L22" t="s">
        <v>81</v>
      </c>
      <c r="N22" t="s">
        <v>66</v>
      </c>
    </row>
    <row r="23" spans="1:14" x14ac:dyDescent="0.2">
      <c r="A23" s="5" t="s">
        <v>25</v>
      </c>
      <c r="B23" t="s">
        <v>52</v>
      </c>
      <c r="D23" t="s">
        <v>53</v>
      </c>
      <c r="F23">
        <v>2</v>
      </c>
      <c r="H23">
        <v>3</v>
      </c>
      <c r="J23" s="7">
        <f t="shared" si="0"/>
        <v>6</v>
      </c>
      <c r="L23" t="s">
        <v>82</v>
      </c>
      <c r="N23" t="s">
        <v>67</v>
      </c>
    </row>
    <row r="24" spans="1:14" x14ac:dyDescent="0.2">
      <c r="A24" s="5" t="s">
        <v>25</v>
      </c>
      <c r="B24" t="s">
        <v>54</v>
      </c>
      <c r="F24">
        <v>3</v>
      </c>
      <c r="H24">
        <v>2</v>
      </c>
      <c r="J24" s="7">
        <f t="shared" si="0"/>
        <v>6</v>
      </c>
      <c r="L24" t="s">
        <v>83</v>
      </c>
      <c r="N24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F25" sqref="F25"/>
    </sheetView>
  </sheetViews>
  <sheetFormatPr baseColWidth="10" defaultColWidth="8.83203125" defaultRowHeight="15" x14ac:dyDescent="0.2"/>
  <sheetData>
    <row r="1" spans="1:2" x14ac:dyDescent="0.2">
      <c r="A1" s="1" t="s">
        <v>17</v>
      </c>
      <c r="B1" s="1" t="s">
        <v>18</v>
      </c>
    </row>
    <row r="2" spans="1:2" x14ac:dyDescent="0.2">
      <c r="A2" t="s">
        <v>19</v>
      </c>
      <c r="B2">
        <f>COUNTA('Risk Register'!B2:B100)</f>
        <v>16</v>
      </c>
    </row>
    <row r="3" spans="1:2" x14ac:dyDescent="0.2">
      <c r="A3" t="s">
        <v>20</v>
      </c>
      <c r="B3">
        <f>AVERAGE('Risk Register'!J2:J100)</f>
        <v>9.1875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Risk Register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Cody Dangleben</cp:lastModifiedBy>
  <dcterms:created xsi:type="dcterms:W3CDTF">2025-04-10T23:19:54Z</dcterms:created>
  <dcterms:modified xsi:type="dcterms:W3CDTF">2026-10-02T04:05:45Z</dcterms:modified>
</cp:coreProperties>
</file>